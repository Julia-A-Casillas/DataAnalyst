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2" name="_xlnm._FilterDatabase">'Embudo General x Pais'!$A$1:$G$11</definedName>
    <definedName hidden="1" localSheetId="3" name="_xlnm._FilterDatabase">'Retencion x Pais'!$A$1:$I$11</definedName>
  </definedNames>
  <calcPr/>
</workbook>
</file>

<file path=xl/sharedStrings.xml><?xml version="1.0" encoding="utf-8"?>
<sst xmlns="http://schemas.openxmlformats.org/spreadsheetml/2006/main" count="98" uniqueCount="52">
  <si>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</si>
  <si>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</si>
  <si>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</si>
  <si>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 </t>
    </r>
  </si>
  <si>
    <t xml:space="preserve">Se analizó el desempeño del embudo de conversión y la retención de usuarios en Mercado Libre entre el 01/01/2025 y el 31/08/2025.
El análisis incluye: Tasas de conversión entre etapas clave del embudo (select item a purchase), retención por cohortes (D7, D14, D21, D28) y segmentación por país para identificar variaciones en comportamiento.                                                                             El objetivo es detectar puntos de fricción en la conversión y evaluar la capacidad del producto para generar recurrencia.
</t>
  </si>
  <si>
    <r>
      <rPr>
        <rFont val="Arial"/>
        <color theme="1"/>
      </rPr>
      <t xml:space="preserve">1. </t>
    </r>
    <r>
      <rPr>
        <rFont val="Arial"/>
        <b/>
        <color theme="1"/>
      </rPr>
      <t>Principal cuello de botella en el embudo:</t>
    </r>
    <r>
      <rPr>
        <rFont val="Arial"/>
        <color theme="1"/>
      </rPr>
      <t xml:space="preserve">
La mayor caída ocurre en la transición de select item a add to cart, con un drop-off de 85% (conversión 14%). Esto limita significativamente el volumen de usuarios que avanzan hacia la compra.
</t>
    </r>
    <r>
      <rPr>
        <rFont val="Arial"/>
        <b/>
        <color theme="1"/>
      </rPr>
      <t>2. Checkout relativamente eficiente:</t>
    </r>
    <r>
      <rPr>
        <rFont val="Arial"/>
        <color theme="1"/>
      </rPr>
      <t xml:space="preserve">
Las tasas de conversión mejoran en etapas posteriores (36% -&gt; 60% -&gt; 86% -&gt; 60%), lo que indica que los usuarios con intención de compra logran completar el proceso sin fricciones críticas.
3. </t>
    </r>
    <r>
      <rPr>
        <rFont val="Arial"/>
        <b/>
        <color theme="1"/>
      </rPr>
      <t xml:space="preserve">Cohortes con mejor y peor desempeño: </t>
    </r>
    <r>
      <rPr>
        <rFont val="Arial"/>
        <color theme="1"/>
      </rPr>
      <t>Mejores cohortes: Marzo–Mayo, con retención más estable en D14 y D21. El peor cohorte: Agosto, con menor retención, posiblemente sesgada por datos incompletos.</t>
    </r>
  </si>
  <si>
    <r>
      <rPr>
        <rFont val="Arial"/>
        <color theme="1"/>
      </rPr>
      <t xml:space="preserve">1. </t>
    </r>
    <r>
      <rPr>
        <rFont val="Arial"/>
        <b/>
        <color theme="1"/>
      </rPr>
      <t>Optimizar el top of funnel (máximo impacto):</t>
    </r>
    <r>
      <rPr>
        <rFont val="Arial"/>
        <color theme="1"/>
      </rPr>
      <t xml:space="preserve">
Priorizar mejoras en la etapa del select item al add to cart (User Experience, pricing, información de producto, confianza), ya que representa la mayor oportunidad de incrementar conversiones.                                                                                         2. </t>
    </r>
    <r>
      <rPr>
        <rFont val="Arial"/>
        <b/>
        <color theme="1"/>
      </rPr>
      <t>Validar calidad de datos y anomalías:</t>
    </r>
    <r>
      <rPr>
        <rFont val="Arial"/>
        <color theme="1"/>
      </rPr>
      <t xml:space="preserve">
Auditar mercados con resultados atípicos (ej. Paraguay) para descartar errores de instrumentación y asegurar la confiabilidad del análisis.                                                                     3.</t>
    </r>
    <r>
      <rPr>
        <rFont val="Arial"/>
        <b/>
        <color theme="1"/>
      </rPr>
      <t>Impulsar estrategias de recurrencia:</t>
    </r>
    <r>
      <rPr>
        <rFont val="Arial"/>
        <color theme="1"/>
      </rPr>
      <t xml:space="preserve">
Diseñar iniciativas enfocadas en generar hábito (personalización, recordatorios contextuales, beneficios recurrentes), más allá de incentivos tácticos como descuentos.</t>
    </r>
  </si>
  <si>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</si>
  <si>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r>
      <rPr>
        <rFont val="Arial"/>
        <color theme="1"/>
      </rPr>
      <t>3.</t>
    </r>
    <r>
      <rPr>
        <rFont val="Arial"/>
        <b/>
        <color theme="1"/>
      </rPr>
      <t xml:space="preserve"> Fuerte caída en retención de mediano plazo</t>
    </r>
    <r>
      <rPr>
        <rFont val="Arial"/>
        <color theme="1"/>
      </rPr>
      <t xml:space="preserve">
Se observa un alto nivel de retención temprana (D7 86.6%), pero una caída pronunciada hacia el D28 (2.6%), lo que sugiere falta de valor recurrente.                                                         4. </t>
    </r>
    <r>
      <rPr>
        <rFont val="Arial"/>
        <b/>
        <color theme="1"/>
      </rPr>
      <t>Patrón de retención consistente entre países:</t>
    </r>
    <r>
      <rPr>
        <rFont val="Arial"/>
        <color theme="1"/>
      </rPr>
      <t xml:space="preserve"> La retención sigue una tendencia similar en todos los países, con variaciones moderadas (ej. Peru y Mexico ligeramente superiores a Colombia y Chile en D28). Esto sugiere que el problema de retención es principalmente estructural del producto, más que específico de un mercado.</t>
    </r>
  </si>
  <si>
    <r>
      <rPr>
        <rFont val="Arial"/>
        <color theme="1"/>
      </rPr>
      <t xml:space="preserve">4. </t>
    </r>
    <r>
      <rPr>
        <rFont val="Arial"/>
        <b/>
        <color theme="1"/>
      </rPr>
      <t>Fuerte caída en retención de mediano plazo:</t>
    </r>
    <r>
      <rPr>
        <rFont val="Arial"/>
        <color theme="1"/>
      </rPr>
      <t xml:space="preserve">
Aunque existe alta retención temprana (D7 86%), esta disminuye drásticamente hacia D28 (2.6%), evidenciando baja recurrencia.
5. </t>
    </r>
    <r>
      <rPr>
        <rFont val="Arial"/>
        <b/>
        <color theme="1"/>
      </rPr>
      <t>Patrón consistente entre países:</t>
    </r>
    <r>
      <rPr>
        <rFont val="Arial"/>
        <color theme="1"/>
      </rPr>
      <t xml:space="preserve">
La retención presenta un comportamiento similar entre países (ej. Peru y Mexico ligeramente superiores a Colombia y Chile). Esto sugiere un problema estructural del producto más que diferencias de mercado.
6. </t>
    </r>
    <r>
      <rPr>
        <rFont val="Arial"/>
        <b/>
        <color theme="1"/>
      </rPr>
      <t xml:space="preserve">Anomalías en datos por país: </t>
    </r>
    <r>
      <rPr>
        <rFont val="Arial"/>
        <color theme="1"/>
      </rPr>
      <t xml:space="preserve">
Casos como Paraguay (0% conversión) indican posibles problemas de tracking o bajo volumen de datos.</t>
    </r>
  </si>
  <si>
    <t>Reflexión personal</t>
  </si>
  <si>
    <t xml:space="preserve">- ¿Qué etapa mejorarías primero?
</t>
  </si>
  <si>
    <t xml:space="preserve">Priorizaría mejorar la etapa de Add to Cart, ya que es el principal cuello de botella del embudo y donde se pierde la mayor cantidad de usuarios.	</t>
  </si>
  <si>
    <t>- ¿Qué aprendiste sobre el comportamiento del usuario?</t>
  </si>
  <si>
    <t>El análisis muestra que el principal problema no está en el proceso de compra, sino en la generación de intención. Los usuarios exploran productos pero no avanzan al carrito, lo que sugiere fricciones en la percepción de valor o en la experiencia.
Además, la baja retención a D28 indica que el producto no logra generar hábito ni recurrencia, evidenciando un desafío estructural más allá de la adquisición.</t>
  </si>
  <si>
    <t>conversion_select_item</t>
  </si>
  <si>
    <t>conversion_add_to_cart</t>
  </si>
  <si>
    <t>conversion_begin_checkout</t>
  </si>
  <si>
    <t>conversion_add_shipping_info</t>
  </si>
  <si>
    <t>conversion_add_payment_info</t>
  </si>
  <si>
    <t>conversion_purchase</t>
  </si>
  <si>
    <t>Mi analisis:</t>
  </si>
  <si>
    <t>De select a ATC:</t>
  </si>
  <si>
    <t>De A.T.C. a B.C. :</t>
  </si>
  <si>
    <t>De BC a A.S.I. :</t>
  </si>
  <si>
    <t>De A.S.I. a A.P.I. :</t>
  </si>
  <si>
    <t>De A.P.I. a Purchase:</t>
  </si>
  <si>
    <t>country</t>
  </si>
  <si>
    <t>Uruguay</t>
  </si>
  <si>
    <t>Chile</t>
  </si>
  <si>
    <t>Mexico</t>
  </si>
  <si>
    <t>Ecuador</t>
  </si>
  <si>
    <t>Peru</t>
  </si>
  <si>
    <t>Colombia</t>
  </si>
  <si>
    <t>Bolivia</t>
  </si>
  <si>
    <t>Paraguay</t>
  </si>
  <si>
    <t>Brazil</t>
  </si>
  <si>
    <t>Argentina</t>
  </si>
  <si>
    <t>Pais</t>
  </si>
  <si>
    <t>Conversion</t>
  </si>
  <si>
    <t>retention_d7_pct</t>
  </si>
  <si>
    <t>retention_d14_pct</t>
  </si>
  <si>
    <t>retention_d21_pct</t>
  </si>
  <si>
    <t>retention_d28_pct</t>
  </si>
  <si>
    <t>D7 - D14</t>
  </si>
  <si>
    <t>D14 - D21</t>
  </si>
  <si>
    <t>D21 - D28</t>
  </si>
  <si>
    <t>Retencion temprana D7</t>
  </si>
  <si>
    <t>Retencion a D28</t>
  </si>
  <si>
    <t>Paises con bajas criticas al D28</t>
  </si>
  <si>
    <t>cohort</t>
  </si>
  <si>
    <t>Taza de conversion: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</si>
</sst>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8">
    <font>
      <sz val="10.0"/>
      <color rgb="FF000000"/>
      <name val="Arial"/>
      <scheme val="minor"/>
    </font>
    <font>
      <color theme="1"/>
      <name val="Arial"/>
      <scheme val="minor"/>
    </font>
    <font>
      <b/>
      <sz val="12.0"/>
      <color theme="1"/>
      <name val="Arial"/>
      <scheme val="minor"/>
    </font>
    <font>
      <b/>
      <color theme="1"/>
      <name val="Arial"/>
      <scheme val="minor"/>
    </font>
    <font>
      <sz val="14.0"/>
      <color theme="1"/>
      <name val="Arial"/>
      <scheme val="minor"/>
    </font>
    <font>
      <sz val="13.0"/>
      <color theme="1"/>
      <name val="Arial"/>
      <scheme val="minor"/>
    </font>
    <font>
      <color theme="0"/>
      <name val="Arial"/>
      <scheme val="minor"/>
    </font>
    <font>
      <color theme="1"/>
      <name val="Arial"/>
    </font>
  </fonts>
  <fills count="7">
    <fill>
      <patternFill patternType="none"/>
    </fill>
    <fill>
      <patternFill patternType="lightGray"/>
    </fill>
    <fill>
      <patternFill patternType="solid">
        <fgColor rgb="FF93C47D"/>
        <bgColor rgb="FF93C47D"/>
      </patternFill>
    </fill>
    <fill>
      <patternFill patternType="solid">
        <fgColor rgb="FFFCE5CD"/>
        <bgColor rgb="FFFCE5CD"/>
      </patternFill>
    </fill>
    <fill>
      <patternFill patternType="solid">
        <fgColor rgb="FF434343"/>
        <bgColor rgb="FF434343"/>
      </patternFill>
    </fill>
    <fill>
      <patternFill patternType="solid">
        <fgColor rgb="FF38761D"/>
        <bgColor rgb="FF38761D"/>
      </patternFill>
    </fill>
    <fill>
      <patternFill patternType="solid">
        <fgColor rgb="FFFFE599"/>
        <bgColor rgb="FFFFE5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3" numFmtId="0" xfId="0" applyAlignment="1" applyFont="1">
      <alignment readingOrder="0" shrinkToFit="0" wrapText="1"/>
    </xf>
    <xf borderId="0" fillId="0" fontId="1" numFmtId="0" xfId="0" applyAlignment="1" applyFont="1">
      <alignment readingOrder="0" shrinkToFit="0" vertical="center" wrapText="1"/>
    </xf>
    <xf borderId="0" fillId="0" fontId="3" numFmtId="0" xfId="0" applyAlignment="1" applyFont="1">
      <alignment readingOrder="0"/>
    </xf>
    <xf borderId="0" fillId="0" fontId="1" numFmtId="0" xfId="0" applyAlignment="1" applyFont="1">
      <alignment readingOrder="0"/>
    </xf>
    <xf borderId="0" fillId="0" fontId="1" numFmtId="10" xfId="0" applyFont="1" applyNumberFormat="1"/>
    <xf borderId="0" fillId="0" fontId="1" numFmtId="10" xfId="0" applyAlignment="1" applyFont="1" applyNumberFormat="1">
      <alignment readingOrder="0"/>
    </xf>
    <xf borderId="0" fillId="0" fontId="1" numFmtId="2" xfId="0" applyAlignment="1" applyFont="1" applyNumberFormat="1">
      <alignment readingOrder="0"/>
    </xf>
    <xf borderId="0" fillId="0" fontId="4" numFmtId="0" xfId="0" applyAlignment="1" applyFont="1">
      <alignment horizontal="center" readingOrder="0" vertical="center"/>
    </xf>
    <xf borderId="0" fillId="0" fontId="5" numFmtId="0" xfId="0" applyAlignment="1" applyFont="1">
      <alignment horizontal="center" readingOrder="0"/>
    </xf>
    <xf borderId="0" fillId="2" fontId="1" numFmtId="0" xfId="0" applyAlignment="1" applyFill="1" applyFont="1">
      <alignment readingOrder="0"/>
    </xf>
    <xf borderId="0" fillId="2" fontId="1" numFmtId="0" xfId="0" applyFont="1"/>
    <xf borderId="0" fillId="3" fontId="1" numFmtId="0" xfId="0" applyFill="1" applyFont="1"/>
    <xf borderId="0" fillId="0" fontId="1" numFmtId="0" xfId="0" applyFont="1"/>
    <xf borderId="0" fillId="3" fontId="1" numFmtId="0" xfId="0" applyAlignment="1" applyFont="1">
      <alignment readingOrder="0"/>
    </xf>
    <xf borderId="0" fillId="4" fontId="6" numFmtId="0" xfId="0" applyFill="1" applyFont="1"/>
    <xf borderId="0" fillId="5" fontId="1" numFmtId="0" xfId="0" applyAlignment="1" applyFill="1" applyFont="1">
      <alignment readingOrder="0"/>
    </xf>
    <xf borderId="0" fillId="0" fontId="1" numFmtId="49" xfId="0" applyAlignment="1" applyFont="1" applyNumberFormat="1">
      <alignment horizontal="right" readingOrder="0"/>
    </xf>
    <xf borderId="0" fillId="6" fontId="1" numFmtId="0" xfId="0" applyAlignment="1" applyFill="1" applyFont="1">
      <alignment readingOrder="0"/>
    </xf>
    <xf borderId="0" fillId="0" fontId="7" numFmtId="0" xfId="0" applyAlignment="1" applyFont="1">
      <alignment vertical="bottom"/>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0.25"/>
    <col customWidth="1" min="3" max="3" width="28.25"/>
    <col customWidth="1" min="4" max="4" width="41.0"/>
    <col customWidth="1" min="5" max="5" width="41.88"/>
  </cols>
  <sheetData>
    <row r="1">
      <c r="B1" s="1"/>
    </row>
    <row r="2">
      <c r="B2" s="1"/>
      <c r="C2" s="2" t="s">
        <v>0</v>
      </c>
      <c r="D2" s="2" t="s">
        <v>1</v>
      </c>
      <c r="E2" s="2" t="s">
        <v>2</v>
      </c>
    </row>
    <row r="3" ht="190.5" customHeight="1">
      <c r="B3" s="3" t="s">
        <v>3</v>
      </c>
      <c r="C3" s="4" t="s">
        <v>4</v>
      </c>
      <c r="D3" s="4" t="s">
        <v>5</v>
      </c>
      <c r="E3" s="3" t="s">
        <v>6</v>
      </c>
    </row>
    <row r="4">
      <c r="B4" s="4" t="s">
        <v>7</v>
      </c>
      <c r="C4" s="5"/>
      <c r="D4" s="4" t="s">
        <v>8</v>
      </c>
      <c r="E4" s="4" t="s">
        <v>9</v>
      </c>
    </row>
    <row r="5">
      <c r="B5" s="3"/>
    </row>
    <row r="6">
      <c r="B6" s="1"/>
    </row>
    <row r="7">
      <c r="B7" s="3"/>
    </row>
    <row r="8">
      <c r="B8" s="6" t="s">
        <v>10</v>
      </c>
    </row>
    <row r="9">
      <c r="B9" s="7" t="s">
        <v>11</v>
      </c>
      <c r="C9" s="7" t="s">
        <v>12</v>
      </c>
    </row>
    <row r="10">
      <c r="B10" s="7" t="s">
        <v>13</v>
      </c>
      <c r="C10" s="3" t="s">
        <v>14</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1">
    <mergeCell ref="C10:D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8" t="s">
        <v>15</v>
      </c>
      <c r="B1" s="8" t="s">
        <v>16</v>
      </c>
      <c r="C1" s="8" t="s">
        <v>17</v>
      </c>
      <c r="D1" s="8" t="s">
        <v>18</v>
      </c>
      <c r="E1" s="8" t="s">
        <v>19</v>
      </c>
      <c r="F1" s="8" t="s">
        <v>20</v>
      </c>
    </row>
    <row r="2">
      <c r="A2" s="9">
        <v>76.8974</v>
      </c>
      <c r="B2" s="9">
        <v>11.0092</v>
      </c>
      <c r="C2" s="9">
        <v>4.00334</v>
      </c>
      <c r="D2" s="9">
        <v>2.41868</v>
      </c>
      <c r="E2" s="9">
        <v>2.08507</v>
      </c>
      <c r="F2" s="9">
        <v>1.25104</v>
      </c>
    </row>
    <row r="3">
      <c r="A3" s="9"/>
      <c r="B3" s="9"/>
      <c r="C3" s="9"/>
      <c r="D3" s="9"/>
      <c r="E3" s="9"/>
      <c r="F3" s="9"/>
    </row>
    <row r="4">
      <c r="A4" s="9" t="s">
        <v>21</v>
      </c>
      <c r="B4" s="9" t="s">
        <v>22</v>
      </c>
      <c r="C4" s="9" t="s">
        <v>23</v>
      </c>
      <c r="D4" s="9" t="s">
        <v>24</v>
      </c>
      <c r="E4" s="9" t="s">
        <v>25</v>
      </c>
      <c r="F4" s="9" t="s">
        <v>26</v>
      </c>
    </row>
    <row r="5">
      <c r="B5" s="10">
        <f t="shared" ref="B5:F5" si="1">B2/A2</f>
        <v>0.1431673893</v>
      </c>
      <c r="C5" s="11">
        <f t="shared" si="1"/>
        <v>0.3636358682</v>
      </c>
      <c r="D5" s="11">
        <f t="shared" si="1"/>
        <v>0.6041655218</v>
      </c>
      <c r="E5" s="11">
        <f t="shared" si="1"/>
        <v>0.8620693932</v>
      </c>
      <c r="F5" s="11">
        <f t="shared" si="1"/>
        <v>0.5999990408</v>
      </c>
    </row>
    <row r="6">
      <c r="A6" s="9"/>
      <c r="B6" s="11">
        <f t="shared" ref="B6:C6" si="2">B5-100%</f>
        <v>-0.8568326107</v>
      </c>
      <c r="C6" s="11">
        <f t="shared" si="2"/>
        <v>-0.6363641318</v>
      </c>
      <c r="D6" s="9"/>
      <c r="E6" s="9"/>
      <c r="F6" s="9"/>
    </row>
    <row r="7">
      <c r="A7" s="9"/>
      <c r="B7" s="9"/>
      <c r="C7" s="9"/>
      <c r="D7" s="9"/>
      <c r="E7" s="9"/>
      <c r="F7"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9.88"/>
    <col customWidth="1" min="3" max="3" width="20.25"/>
    <col customWidth="1" min="4" max="4" width="23.5"/>
    <col customWidth="1" min="5" max="5" width="25.63"/>
    <col customWidth="1" min="6" max="6" width="25.5"/>
    <col customWidth="1" min="7" max="7" width="18.25"/>
  </cols>
  <sheetData>
    <row r="1">
      <c r="A1" s="8" t="s">
        <v>27</v>
      </c>
      <c r="B1" s="8" t="s">
        <v>15</v>
      </c>
      <c r="C1" s="8" t="s">
        <v>16</v>
      </c>
      <c r="D1" s="8" t="s">
        <v>17</v>
      </c>
      <c r="E1" s="8" t="s">
        <v>18</v>
      </c>
      <c r="F1" s="8" t="s">
        <v>19</v>
      </c>
      <c r="G1" s="8" t="s">
        <v>20</v>
      </c>
    </row>
    <row r="2">
      <c r="A2" s="9" t="s">
        <v>28</v>
      </c>
      <c r="B2" s="12">
        <v>81.8182</v>
      </c>
      <c r="C2" s="12">
        <v>22.7273</v>
      </c>
      <c r="D2" s="12">
        <v>4.54545</v>
      </c>
      <c r="E2" s="12">
        <v>4.54545</v>
      </c>
      <c r="F2" s="12">
        <v>4.54545</v>
      </c>
      <c r="G2" s="12">
        <v>4.54545</v>
      </c>
    </row>
    <row r="3">
      <c r="A3" s="9" t="s">
        <v>29</v>
      </c>
      <c r="B3" s="12">
        <v>78.3505</v>
      </c>
      <c r="C3" s="12">
        <v>17.5258</v>
      </c>
      <c r="D3" s="12">
        <v>8.24742</v>
      </c>
      <c r="E3" s="12">
        <v>3.09278</v>
      </c>
      <c r="F3" s="12">
        <v>2.06186</v>
      </c>
      <c r="G3" s="12">
        <v>1.03093</v>
      </c>
    </row>
    <row r="4">
      <c r="A4" s="9" t="s">
        <v>30</v>
      </c>
      <c r="B4" s="12">
        <v>79.7521</v>
      </c>
      <c r="C4" s="12">
        <v>13.2231</v>
      </c>
      <c r="D4" s="12">
        <v>4.13223</v>
      </c>
      <c r="E4" s="12">
        <v>3.30579</v>
      </c>
      <c r="F4" s="12">
        <v>2.89256</v>
      </c>
      <c r="G4" s="12">
        <v>2.47934</v>
      </c>
    </row>
    <row r="5">
      <c r="A5" s="9" t="s">
        <v>31</v>
      </c>
      <c r="B5" s="12">
        <v>74.5763</v>
      </c>
      <c r="C5" s="12">
        <v>10.1695</v>
      </c>
      <c r="D5" s="12">
        <v>5.08475</v>
      </c>
      <c r="E5" s="12">
        <v>1.69492</v>
      </c>
      <c r="F5" s="12">
        <v>1.69492</v>
      </c>
      <c r="G5" s="12">
        <v>0.0</v>
      </c>
    </row>
    <row r="6">
      <c r="A6" s="9" t="s">
        <v>32</v>
      </c>
      <c r="B6" s="12">
        <v>84.5455</v>
      </c>
      <c r="C6" s="12">
        <v>10.0</v>
      </c>
      <c r="D6" s="12">
        <v>2.72727</v>
      </c>
      <c r="E6" s="12">
        <v>2.72727</v>
      </c>
      <c r="F6" s="12">
        <v>1.81818</v>
      </c>
      <c r="G6" s="12">
        <v>1.81818</v>
      </c>
    </row>
    <row r="7">
      <c r="A7" s="9" t="s">
        <v>33</v>
      </c>
      <c r="B7" s="12">
        <v>76.3636</v>
      </c>
      <c r="C7" s="12">
        <v>9.69697</v>
      </c>
      <c r="D7" s="12">
        <v>4.84848</v>
      </c>
      <c r="E7" s="12">
        <v>3.0303</v>
      </c>
      <c r="F7" s="12">
        <v>2.42424</v>
      </c>
      <c r="G7" s="12">
        <v>0.0</v>
      </c>
    </row>
    <row r="8">
      <c r="A8" s="9" t="s">
        <v>34</v>
      </c>
      <c r="B8" s="12">
        <v>80.6452</v>
      </c>
      <c r="C8" s="12">
        <v>9.67742</v>
      </c>
      <c r="D8" s="12">
        <v>3.22581</v>
      </c>
      <c r="E8" s="12">
        <v>3.22581</v>
      </c>
      <c r="F8" s="12">
        <v>3.22581</v>
      </c>
      <c r="G8" s="12">
        <v>3.22581</v>
      </c>
    </row>
    <row r="9">
      <c r="A9" s="9" t="s">
        <v>35</v>
      </c>
      <c r="B9" s="12">
        <v>71.4286</v>
      </c>
      <c r="C9" s="12">
        <v>9.52381</v>
      </c>
      <c r="D9" s="12">
        <v>0.0</v>
      </c>
      <c r="E9" s="12">
        <v>0.0</v>
      </c>
      <c r="F9" s="12">
        <v>0.0</v>
      </c>
      <c r="G9" s="12">
        <v>0.0</v>
      </c>
    </row>
    <row r="10">
      <c r="A10" s="9" t="s">
        <v>36</v>
      </c>
      <c r="B10" s="12">
        <v>72.6027</v>
      </c>
      <c r="C10" s="12">
        <v>8.90411</v>
      </c>
      <c r="D10" s="12">
        <v>2.39726</v>
      </c>
      <c r="E10" s="12">
        <v>1.36986</v>
      </c>
      <c r="F10" s="12">
        <v>1.36986</v>
      </c>
      <c r="G10" s="12">
        <v>0.684932</v>
      </c>
    </row>
    <row r="11">
      <c r="A11" s="9" t="s">
        <v>37</v>
      </c>
      <c r="B11" s="12">
        <v>75.0</v>
      </c>
      <c r="C11" s="12">
        <v>8.75</v>
      </c>
      <c r="D11" s="12">
        <v>4.375</v>
      </c>
      <c r="E11" s="12">
        <v>1.875</v>
      </c>
      <c r="F11" s="12">
        <v>1.875</v>
      </c>
      <c r="G11" s="12">
        <v>1.25</v>
      </c>
    </row>
    <row r="13">
      <c r="A13" s="9" t="s">
        <v>21</v>
      </c>
      <c r="B13" s="13" t="s">
        <v>38</v>
      </c>
      <c r="C13" s="14" t="s">
        <v>39</v>
      </c>
    </row>
    <row r="14">
      <c r="C14" s="9" t="s">
        <v>22</v>
      </c>
      <c r="D14" s="9" t="s">
        <v>23</v>
      </c>
      <c r="E14" s="9" t="s">
        <v>24</v>
      </c>
      <c r="F14" s="9" t="s">
        <v>25</v>
      </c>
      <c r="G14" s="9" t="s">
        <v>26</v>
      </c>
    </row>
    <row r="15">
      <c r="B15" s="15" t="s">
        <v>28</v>
      </c>
      <c r="C15" s="16">
        <f t="shared" ref="C15:G15" si="1">C2/B2*100</f>
        <v>27.77780494</v>
      </c>
      <c r="D15" s="17">
        <f t="shared" si="1"/>
        <v>19.999956</v>
      </c>
      <c r="E15" s="18">
        <f t="shared" si="1"/>
        <v>100</v>
      </c>
      <c r="F15" s="18">
        <f t="shared" si="1"/>
        <v>100</v>
      </c>
      <c r="G15" s="18">
        <f t="shared" si="1"/>
        <v>100</v>
      </c>
    </row>
    <row r="16">
      <c r="B16" s="15" t="s">
        <v>29</v>
      </c>
      <c r="C16" s="16">
        <f t="shared" ref="C16:C24" si="3">$C3/$B3*100</f>
        <v>22.36845968</v>
      </c>
      <c r="D16" s="18">
        <f t="shared" ref="D16:G16" si="2">D3/C3*100</f>
        <v>47.05873626</v>
      </c>
      <c r="E16" s="18">
        <f t="shared" si="2"/>
        <v>37.49996969</v>
      </c>
      <c r="F16" s="18">
        <f t="shared" si="2"/>
        <v>66.66688222</v>
      </c>
      <c r="G16" s="18">
        <f t="shared" si="2"/>
        <v>50</v>
      </c>
    </row>
    <row r="17">
      <c r="B17" s="9" t="s">
        <v>30</v>
      </c>
      <c r="C17" s="18">
        <f t="shared" si="3"/>
        <v>16.58025306</v>
      </c>
      <c r="D17" s="18">
        <f t="shared" ref="D17:G17" si="4">D4/C4*100</f>
        <v>31.25008508</v>
      </c>
      <c r="E17" s="18">
        <f t="shared" si="4"/>
        <v>80.0001452</v>
      </c>
      <c r="F17" s="18">
        <f t="shared" si="4"/>
        <v>87.49981094</v>
      </c>
      <c r="G17" s="18">
        <f t="shared" si="4"/>
        <v>85.71438449</v>
      </c>
    </row>
    <row r="18">
      <c r="B18" s="9" t="s">
        <v>31</v>
      </c>
      <c r="C18" s="18">
        <f t="shared" si="3"/>
        <v>13.63636973</v>
      </c>
      <c r="D18" s="16">
        <f t="shared" ref="D18:G18" si="5">D5/C5*100</f>
        <v>50</v>
      </c>
      <c r="E18" s="18">
        <f t="shared" si="5"/>
        <v>33.33339889</v>
      </c>
      <c r="F18" s="18">
        <f t="shared" si="5"/>
        <v>100</v>
      </c>
      <c r="G18" s="18">
        <f t="shared" si="5"/>
        <v>0</v>
      </c>
    </row>
    <row r="19">
      <c r="B19" s="19" t="s">
        <v>32</v>
      </c>
      <c r="C19" s="17">
        <f t="shared" si="3"/>
        <v>11.82795063</v>
      </c>
      <c r="D19" s="17">
        <f t="shared" ref="D19:G19" si="6">D6/C6*100</f>
        <v>27.2727</v>
      </c>
      <c r="E19" s="18">
        <f t="shared" si="6"/>
        <v>100</v>
      </c>
      <c r="F19" s="18">
        <f t="shared" si="6"/>
        <v>66.66666667</v>
      </c>
      <c r="G19" s="18">
        <f t="shared" si="6"/>
        <v>100</v>
      </c>
    </row>
    <row r="20">
      <c r="B20" s="19" t="s">
        <v>33</v>
      </c>
      <c r="C20" s="17">
        <f t="shared" si="3"/>
        <v>12.69841914</v>
      </c>
      <c r="D20" s="16">
        <f t="shared" ref="D20:G20" si="7">D7/C7*100</f>
        <v>49.99994844</v>
      </c>
      <c r="E20" s="18">
        <f t="shared" si="7"/>
        <v>62.5</v>
      </c>
      <c r="F20" s="18">
        <f t="shared" si="7"/>
        <v>80</v>
      </c>
      <c r="G20" s="18">
        <f t="shared" si="7"/>
        <v>0</v>
      </c>
    </row>
    <row r="21">
      <c r="B21" s="19" t="s">
        <v>34</v>
      </c>
      <c r="C21" s="17">
        <f t="shared" si="3"/>
        <v>11.99999504</v>
      </c>
      <c r="D21" s="18">
        <f t="shared" ref="D21:G21" si="8">D8/C8*100</f>
        <v>33.33336778</v>
      </c>
      <c r="E21" s="18">
        <f t="shared" si="8"/>
        <v>100</v>
      </c>
      <c r="F21" s="18">
        <f t="shared" si="8"/>
        <v>100</v>
      </c>
      <c r="G21" s="18">
        <f t="shared" si="8"/>
        <v>100</v>
      </c>
    </row>
    <row r="22">
      <c r="B22" s="9" t="s">
        <v>35</v>
      </c>
      <c r="C22" s="18">
        <f t="shared" si="3"/>
        <v>13.33332867</v>
      </c>
      <c r="D22" s="20">
        <f t="shared" ref="D22:G22" si="9">D9/C9*100</f>
        <v>0</v>
      </c>
      <c r="E22" s="20" t="str">
        <f t="shared" si="9"/>
        <v>#DIV/0!</v>
      </c>
      <c r="F22" s="20" t="str">
        <f t="shared" si="9"/>
        <v>#DIV/0!</v>
      </c>
      <c r="G22" s="20" t="str">
        <f t="shared" si="9"/>
        <v>#DIV/0!</v>
      </c>
    </row>
    <row r="23">
      <c r="B23" s="19" t="s">
        <v>36</v>
      </c>
      <c r="C23" s="17">
        <f t="shared" si="3"/>
        <v>12.26415822</v>
      </c>
      <c r="D23" s="17">
        <f t="shared" ref="D23:G23" si="10">D10/C10*100</f>
        <v>26.9230726</v>
      </c>
      <c r="E23" s="18">
        <f t="shared" si="10"/>
        <v>57.14273796</v>
      </c>
      <c r="F23" s="18">
        <f t="shared" si="10"/>
        <v>100</v>
      </c>
      <c r="G23" s="18">
        <f t="shared" si="10"/>
        <v>50.000146</v>
      </c>
    </row>
    <row r="24">
      <c r="B24" s="19" t="s">
        <v>37</v>
      </c>
      <c r="C24" s="17">
        <f t="shared" si="3"/>
        <v>11.66666667</v>
      </c>
      <c r="D24" s="16">
        <f t="shared" ref="D24:G24" si="11">D11/C11*100</f>
        <v>50</v>
      </c>
      <c r="E24" s="18">
        <f t="shared" si="11"/>
        <v>42.85714286</v>
      </c>
      <c r="F24" s="18">
        <f t="shared" si="11"/>
        <v>100</v>
      </c>
      <c r="G24" s="18">
        <f t="shared" si="11"/>
        <v>66.66666667</v>
      </c>
    </row>
  </sheetData>
  <autoFilter ref="$A$1:$G$11">
    <sortState ref="A1:G11">
      <sortCondition descending="1" ref="C1:C11"/>
      <sortCondition descending="1" ref="D1:D11"/>
      <sortCondition descending="1" ref="B1:B11"/>
      <sortCondition descending="1" ref="G1:G11"/>
    </sortState>
  </autoFilter>
  <mergeCells count="2">
    <mergeCell ref="B13:B14"/>
    <mergeCell ref="C13:G13"/>
  </mergeCells>
  <conditionalFormatting sqref="B2:B11">
    <cfRule type="colorScale" priority="1">
      <colorScale>
        <cfvo type="min"/>
        <cfvo type="max"/>
        <color rgb="FFFFFFFF"/>
        <color rgb="FF57BB8A"/>
      </colorScale>
    </cfRule>
  </conditionalFormatting>
  <conditionalFormatting sqref="C2:C11">
    <cfRule type="colorScale" priority="2">
      <colorScale>
        <cfvo type="min"/>
        <cfvo type="max"/>
        <color rgb="FFFFFFFF"/>
        <color rgb="FF57BB8A"/>
      </colorScale>
    </cfRule>
  </conditionalFormatting>
  <conditionalFormatting sqref="D2:D11">
    <cfRule type="colorScale" priority="3">
      <colorScale>
        <cfvo type="min"/>
        <cfvo type="max"/>
        <color rgb="FFFFFFFF"/>
        <color rgb="FF57BB8A"/>
      </colorScale>
    </cfRule>
  </conditionalFormatting>
  <conditionalFormatting sqref="E2:E11">
    <cfRule type="colorScale" priority="4">
      <colorScale>
        <cfvo type="min"/>
        <cfvo type="max"/>
        <color rgb="FFFFFFFF"/>
        <color rgb="FF57BB8A"/>
      </colorScale>
    </cfRule>
  </conditionalFormatting>
  <conditionalFormatting sqref="F2:F11">
    <cfRule type="colorScale" priority="5">
      <colorScale>
        <cfvo type="min"/>
        <cfvo type="max"/>
        <color rgb="FFFFFFFF"/>
        <color rgb="FF57BB8A"/>
      </colorScale>
    </cfRule>
  </conditionalFormatting>
  <conditionalFormatting sqref="G2:G11">
    <cfRule type="colorScale" priority="6">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 customWidth="1" min="6" max="6" width="3.0"/>
    <col customWidth="1" min="10" max="10" width="12.38"/>
  </cols>
  <sheetData>
    <row r="1">
      <c r="A1" s="9" t="s">
        <v>27</v>
      </c>
      <c r="B1" s="9" t="s">
        <v>40</v>
      </c>
      <c r="C1" s="9" t="s">
        <v>41</v>
      </c>
      <c r="D1" s="9" t="s">
        <v>42</v>
      </c>
      <c r="E1" s="9" t="s">
        <v>43</v>
      </c>
      <c r="G1" s="9" t="s">
        <v>44</v>
      </c>
      <c r="H1" s="9" t="s">
        <v>45</v>
      </c>
      <c r="I1" s="9" t="s">
        <v>46</v>
      </c>
    </row>
    <row r="2">
      <c r="A2" s="9" t="s">
        <v>32</v>
      </c>
      <c r="B2" s="9">
        <v>84.3</v>
      </c>
      <c r="C2" s="9">
        <v>51.1</v>
      </c>
      <c r="D2" s="9">
        <v>22.9</v>
      </c>
      <c r="E2" s="21">
        <v>3.2</v>
      </c>
      <c r="G2" s="18">
        <f t="shared" ref="G2:I2" si="1">B2-C2</f>
        <v>33.2</v>
      </c>
      <c r="H2" s="22">
        <f t="shared" si="1"/>
        <v>28.2</v>
      </c>
      <c r="I2" s="18">
        <f t="shared" si="1"/>
        <v>19.7</v>
      </c>
    </row>
    <row r="3">
      <c r="A3" s="9" t="s">
        <v>30</v>
      </c>
      <c r="B3" s="9">
        <v>86.1</v>
      </c>
      <c r="C3" s="9">
        <v>55.8</v>
      </c>
      <c r="D3" s="9">
        <v>25.5</v>
      </c>
      <c r="E3" s="21">
        <v>3.1</v>
      </c>
      <c r="G3" s="18">
        <f t="shared" ref="G3:I3" si="2">B3-C3</f>
        <v>30.3</v>
      </c>
      <c r="H3" s="22">
        <f t="shared" si="2"/>
        <v>30.3</v>
      </c>
      <c r="I3" s="18">
        <f t="shared" si="2"/>
        <v>22.4</v>
      </c>
    </row>
    <row r="4">
      <c r="A4" s="9" t="s">
        <v>36</v>
      </c>
      <c r="B4" s="23">
        <v>87.2</v>
      </c>
      <c r="C4" s="9">
        <v>54.4</v>
      </c>
      <c r="D4" s="9">
        <v>24.4</v>
      </c>
      <c r="E4" s="9">
        <v>2.5</v>
      </c>
      <c r="G4" s="18">
        <f t="shared" ref="G4:I4" si="3">B4-C4</f>
        <v>32.8</v>
      </c>
      <c r="H4" s="22">
        <f t="shared" si="3"/>
        <v>30</v>
      </c>
      <c r="I4" s="18">
        <f t="shared" si="3"/>
        <v>21.9</v>
      </c>
    </row>
    <row r="5">
      <c r="A5" s="9" t="s">
        <v>31</v>
      </c>
      <c r="B5" s="9">
        <v>79.1</v>
      </c>
      <c r="C5" s="9">
        <v>50.0</v>
      </c>
      <c r="D5" s="9">
        <v>20.6</v>
      </c>
      <c r="E5" s="9">
        <v>2.5</v>
      </c>
      <c r="G5" s="18">
        <f t="shared" ref="G5:I5" si="4">B5-C5</f>
        <v>29.1</v>
      </c>
      <c r="H5" s="22">
        <f t="shared" si="4"/>
        <v>29.4</v>
      </c>
      <c r="I5" s="18">
        <f t="shared" si="4"/>
        <v>18.1</v>
      </c>
    </row>
    <row r="6">
      <c r="A6" s="9" t="s">
        <v>28</v>
      </c>
      <c r="B6" s="9">
        <v>86.1</v>
      </c>
      <c r="C6" s="9">
        <v>48.8</v>
      </c>
      <c r="D6" s="9">
        <v>23.0</v>
      </c>
      <c r="E6" s="9">
        <v>2.5</v>
      </c>
      <c r="G6" s="18">
        <f t="shared" ref="G6:I6" si="5">B6-C6</f>
        <v>37.3</v>
      </c>
      <c r="H6" s="22">
        <f t="shared" si="5"/>
        <v>25.8</v>
      </c>
      <c r="I6" s="18">
        <f t="shared" si="5"/>
        <v>20.5</v>
      </c>
    </row>
    <row r="7">
      <c r="A7" s="9" t="s">
        <v>34</v>
      </c>
      <c r="B7" s="9">
        <v>80.8</v>
      </c>
      <c r="C7" s="9">
        <v>46.8</v>
      </c>
      <c r="D7" s="9">
        <v>19.2</v>
      </c>
      <c r="E7" s="9">
        <v>2.5</v>
      </c>
      <c r="G7" s="18">
        <f t="shared" ref="G7:I7" si="6">B7-C7</f>
        <v>34</v>
      </c>
      <c r="H7" s="22">
        <f t="shared" si="6"/>
        <v>27.6</v>
      </c>
      <c r="I7" s="18">
        <f t="shared" si="6"/>
        <v>16.7</v>
      </c>
    </row>
    <row r="8">
      <c r="A8" s="9" t="s">
        <v>35</v>
      </c>
      <c r="B8" s="9">
        <v>80.9</v>
      </c>
      <c r="C8" s="9">
        <v>49.1</v>
      </c>
      <c r="D8" s="9">
        <v>22.1</v>
      </c>
      <c r="E8" s="9">
        <v>2.1</v>
      </c>
      <c r="G8" s="18">
        <f t="shared" ref="G8:I8" si="7">B8-C8</f>
        <v>31.8</v>
      </c>
      <c r="H8" s="22">
        <f t="shared" si="7"/>
        <v>27</v>
      </c>
      <c r="I8" s="18">
        <f t="shared" si="7"/>
        <v>20</v>
      </c>
    </row>
    <row r="9">
      <c r="A9" s="9" t="s">
        <v>37</v>
      </c>
      <c r="B9" s="23">
        <v>85.1</v>
      </c>
      <c r="C9" s="9">
        <v>52.3</v>
      </c>
      <c r="D9" s="9">
        <v>22.5</v>
      </c>
      <c r="E9" s="9">
        <v>1.8</v>
      </c>
      <c r="G9" s="18">
        <f t="shared" ref="G9:I9" si="8">B9-C9</f>
        <v>32.8</v>
      </c>
      <c r="H9" s="22">
        <f t="shared" si="8"/>
        <v>29.8</v>
      </c>
      <c r="I9" s="18">
        <f t="shared" si="8"/>
        <v>20.7</v>
      </c>
    </row>
    <row r="10">
      <c r="A10" s="9" t="s">
        <v>29</v>
      </c>
      <c r="B10" s="9">
        <v>83.7</v>
      </c>
      <c r="C10" s="9">
        <v>51.8</v>
      </c>
      <c r="D10" s="9">
        <v>22.1</v>
      </c>
      <c r="E10" s="9">
        <v>1.7</v>
      </c>
      <c r="G10" s="18">
        <f t="shared" ref="G10:I10" si="9">B10-C10</f>
        <v>31.9</v>
      </c>
      <c r="H10" s="22">
        <f t="shared" si="9"/>
        <v>29.7</v>
      </c>
      <c r="I10" s="18">
        <f t="shared" si="9"/>
        <v>20.4</v>
      </c>
    </row>
    <row r="11">
      <c r="A11" s="9" t="s">
        <v>33</v>
      </c>
      <c r="B11" s="9">
        <v>84.5</v>
      </c>
      <c r="C11" s="9">
        <v>52.0</v>
      </c>
      <c r="D11" s="9">
        <v>21.8</v>
      </c>
      <c r="E11" s="9">
        <v>1.6</v>
      </c>
      <c r="G11" s="18">
        <f t="shared" ref="G11:I11" si="10">B11-C11</f>
        <v>32.5</v>
      </c>
      <c r="H11" s="22">
        <f t="shared" si="10"/>
        <v>30.2</v>
      </c>
      <c r="I11" s="18">
        <f t="shared" si="10"/>
        <v>20.2</v>
      </c>
    </row>
    <row r="12">
      <c r="A12" s="9"/>
      <c r="B12" s="9"/>
      <c r="C12" s="9"/>
      <c r="D12" s="9"/>
      <c r="E12" s="9"/>
      <c r="F12" s="9"/>
      <c r="I12" s="22"/>
    </row>
    <row r="13">
      <c r="A13" s="9"/>
      <c r="B13" s="9"/>
      <c r="C13" s="9" t="s">
        <v>47</v>
      </c>
      <c r="D13" s="9" t="s">
        <v>48</v>
      </c>
      <c r="E13" s="9" t="s">
        <v>49</v>
      </c>
      <c r="F13" s="9"/>
      <c r="I13" s="22"/>
    </row>
    <row r="14">
      <c r="A14" s="9"/>
      <c r="B14" s="24"/>
      <c r="C14" s="24" t="s">
        <v>36</v>
      </c>
      <c r="D14" s="24" t="s">
        <v>32</v>
      </c>
      <c r="E14" s="9" t="s">
        <v>37</v>
      </c>
      <c r="F14" s="9"/>
      <c r="I14" s="22"/>
    </row>
    <row r="15">
      <c r="A15" s="9"/>
      <c r="B15" s="9"/>
      <c r="C15" s="24" t="s">
        <v>30</v>
      </c>
      <c r="D15" s="24" t="s">
        <v>30</v>
      </c>
      <c r="E15" s="9" t="s">
        <v>29</v>
      </c>
      <c r="F15" s="9"/>
      <c r="I15" s="22"/>
    </row>
    <row r="16">
      <c r="A16" s="9"/>
      <c r="B16" s="9"/>
      <c r="C16" s="24" t="s">
        <v>28</v>
      </c>
      <c r="D16" s="24" t="s">
        <v>34</v>
      </c>
      <c r="E16" s="9" t="s">
        <v>33</v>
      </c>
      <c r="F16" s="9"/>
      <c r="I16" s="22"/>
    </row>
    <row r="17">
      <c r="A17" s="9"/>
      <c r="B17" s="9"/>
      <c r="C17" s="9"/>
      <c r="D17" s="9"/>
      <c r="E17" s="9"/>
      <c r="F17" s="9"/>
      <c r="I17" s="22"/>
    </row>
    <row r="18">
      <c r="A18" s="9"/>
      <c r="B18" s="9"/>
      <c r="C18" s="9"/>
      <c r="D18" s="9"/>
      <c r="E18" s="9"/>
      <c r="F18" s="9"/>
      <c r="I18" s="22"/>
    </row>
  </sheetData>
  <autoFilter ref="$A$1:$I$11">
    <sortState ref="A1:I11">
      <sortCondition descending="1" ref="E1:E11"/>
      <sortCondition descending="1" ref="C1:C11"/>
      <sortCondition ref="B1:B11"/>
      <sortCondition ref="A1:A11"/>
    </sortState>
  </autoFilter>
  <conditionalFormatting sqref="B2:B13 B15:B18">
    <cfRule type="colorScale" priority="1">
      <colorScale>
        <cfvo type="min"/>
        <cfvo type="max"/>
        <color rgb="FFFFFFFF"/>
        <color rgb="FF57BB8A"/>
      </colorScale>
    </cfRule>
  </conditionalFormatting>
  <conditionalFormatting sqref="C2:C18 B14">
    <cfRule type="colorScale" priority="2">
      <colorScale>
        <cfvo type="min"/>
        <cfvo type="max"/>
        <color rgb="FFFFFFFF"/>
        <color rgb="FF57BB8A"/>
      </colorScale>
    </cfRule>
  </conditionalFormatting>
  <conditionalFormatting sqref="D2:D18">
    <cfRule type="colorScale" priority="3">
      <colorScale>
        <cfvo type="min"/>
        <cfvo type="max"/>
        <color rgb="FFFFFFFF"/>
        <color rgb="FF57BB8A"/>
      </colorScale>
    </cfRule>
  </conditionalFormatting>
  <conditionalFormatting sqref="E2:E13 E17:E18">
    <cfRule type="colorScale" priority="4">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9" t="s">
        <v>50</v>
      </c>
      <c r="B1" s="9" t="s">
        <v>40</v>
      </c>
      <c r="C1" s="9" t="s">
        <v>41</v>
      </c>
      <c r="D1" s="9" t="s">
        <v>42</v>
      </c>
      <c r="E1" s="9" t="s">
        <v>43</v>
      </c>
    </row>
    <row r="2">
      <c r="A2" s="25">
        <v>45658.0</v>
      </c>
      <c r="B2" s="9">
        <v>86.2</v>
      </c>
      <c r="C2" s="9">
        <v>56.2</v>
      </c>
      <c r="D2" s="9">
        <v>24.1</v>
      </c>
      <c r="E2" s="9">
        <v>3.0</v>
      </c>
    </row>
    <row r="3">
      <c r="A3" s="25">
        <v>45689.0</v>
      </c>
      <c r="B3" s="9">
        <v>86.8</v>
      </c>
      <c r="C3" s="9">
        <v>56.0</v>
      </c>
      <c r="D3" s="9">
        <v>24.6</v>
      </c>
      <c r="E3" s="9">
        <v>2.7</v>
      </c>
    </row>
    <row r="4">
      <c r="A4" s="25">
        <v>45717.0</v>
      </c>
      <c r="B4" s="9">
        <v>87.7</v>
      </c>
      <c r="C4" s="9">
        <v>56.8</v>
      </c>
      <c r="D4" s="9">
        <v>26.6</v>
      </c>
      <c r="E4" s="9">
        <v>3.0</v>
      </c>
    </row>
    <row r="5">
      <c r="A5" s="25">
        <v>45748.0</v>
      </c>
      <c r="B5" s="9">
        <v>87.2</v>
      </c>
      <c r="C5" s="9">
        <v>53.9</v>
      </c>
      <c r="D5" s="9">
        <v>23.0</v>
      </c>
      <c r="E5" s="9">
        <v>2.0</v>
      </c>
    </row>
    <row r="6">
      <c r="A6" s="25">
        <v>45778.0</v>
      </c>
      <c r="B6" s="9">
        <v>86.0</v>
      </c>
      <c r="C6" s="9">
        <v>54.5</v>
      </c>
      <c r="D6" s="9">
        <v>26.2</v>
      </c>
      <c r="E6" s="9">
        <v>3.0</v>
      </c>
    </row>
    <row r="7">
      <c r="A7" s="25">
        <v>45809.0</v>
      </c>
      <c r="B7" s="9">
        <v>85.9</v>
      </c>
      <c r="C7" s="9">
        <v>55.1</v>
      </c>
      <c r="D7" s="9">
        <v>25.2</v>
      </c>
      <c r="E7" s="9">
        <v>2.1</v>
      </c>
    </row>
    <row r="8">
      <c r="A8" s="25">
        <v>45839.0</v>
      </c>
      <c r="B8" s="9">
        <v>86.4</v>
      </c>
      <c r="C8" s="9">
        <v>56.4</v>
      </c>
      <c r="D8" s="9">
        <v>25.9</v>
      </c>
      <c r="E8" s="9">
        <v>2.7</v>
      </c>
    </row>
    <row r="9">
      <c r="A9" s="25">
        <v>45870.0</v>
      </c>
      <c r="B9" s="9">
        <v>70.8</v>
      </c>
      <c r="C9" s="9">
        <v>29.7</v>
      </c>
      <c r="D9" s="9">
        <v>7.5</v>
      </c>
      <c r="E9" s="9">
        <v>0.2</v>
      </c>
    </row>
    <row r="10">
      <c r="A10" s="25"/>
      <c r="B10" s="9"/>
      <c r="C10" s="9"/>
      <c r="D10" s="9"/>
      <c r="E10" s="9"/>
    </row>
    <row r="11">
      <c r="A11" s="9" t="s">
        <v>51</v>
      </c>
      <c r="B11" s="9">
        <f t="shared" ref="B11:E11" si="1">sum(B2:B7)/6</f>
        <v>86.63333333</v>
      </c>
      <c r="C11" s="9">
        <f t="shared" si="1"/>
        <v>55.41666667</v>
      </c>
      <c r="D11" s="9">
        <f t="shared" si="1"/>
        <v>24.95</v>
      </c>
      <c r="E11" s="9">
        <f t="shared" si="1"/>
        <v>2.633333333</v>
      </c>
    </row>
    <row r="12">
      <c r="A12" s="25"/>
      <c r="B12" s="9"/>
      <c r="C12" s="9"/>
      <c r="D12" s="9"/>
      <c r="E12" s="9"/>
    </row>
    <row r="13">
      <c r="A13" s="25"/>
      <c r="B13" s="9"/>
      <c r="C13" s="9"/>
      <c r="D13" s="9"/>
      <c r="E13" s="9"/>
    </row>
    <row r="14">
      <c r="A14" s="25"/>
      <c r="B14" s="9"/>
      <c r="C14" s="9"/>
      <c r="D14" s="9"/>
      <c r="E14" s="9"/>
    </row>
    <row r="15">
      <c r="A15" s="25"/>
      <c r="B15" s="9"/>
      <c r="C15" s="9"/>
      <c r="D15" s="9"/>
      <c r="E15" s="9"/>
    </row>
    <row r="16">
      <c r="A16" s="25"/>
      <c r="B16" s="9"/>
      <c r="C16" s="9"/>
      <c r="D16" s="9"/>
      <c r="E16" s="9"/>
    </row>
    <row r="17">
      <c r="A17" s="25"/>
      <c r="B17" s="9"/>
      <c r="C17" s="9"/>
      <c r="D17" s="9"/>
      <c r="E17" s="9"/>
    </row>
    <row r="18">
      <c r="A18" s="25"/>
      <c r="B18" s="9"/>
      <c r="C18" s="9"/>
      <c r="D18" s="9"/>
      <c r="E18" s="9"/>
    </row>
    <row r="19">
      <c r="A19" s="25"/>
      <c r="B19" s="9"/>
      <c r="C19" s="9"/>
      <c r="D19" s="9"/>
      <c r="E19" s="9"/>
    </row>
  </sheetData>
  <conditionalFormatting sqref="B2:B19 C11:E11">
    <cfRule type="colorScale" priority="1">
      <colorScale>
        <cfvo type="min"/>
        <cfvo type="formula" val="86.4"/>
        <cfvo type="max"/>
        <color rgb="FFFFFFFF"/>
        <color rgb="FFABDDC5"/>
        <color rgb="FF57BB8A"/>
      </colorScale>
    </cfRule>
  </conditionalFormatting>
  <conditionalFormatting sqref="C2:C19">
    <cfRule type="colorScale" priority="2">
      <colorScale>
        <cfvo type="min"/>
        <cfvo type="formula" val="56"/>
        <cfvo type="max"/>
        <color rgb="FFFFFFFF"/>
        <color rgb="FFABDDC5"/>
        <color rgb="FF57BB8A"/>
      </colorScale>
    </cfRule>
  </conditionalFormatting>
  <conditionalFormatting sqref="D2:D19">
    <cfRule type="colorScale" priority="3">
      <colorScale>
        <cfvo type="min"/>
        <cfvo type="formula" val="25.2"/>
        <cfvo type="max"/>
        <color rgb="FFFFFFFF"/>
        <color rgb="FFABDDC5"/>
        <color rgb="FF57BB8A"/>
      </colorScale>
    </cfRule>
  </conditionalFormatting>
  <conditionalFormatting sqref="E2:E19">
    <cfRule type="colorScale" priority="4">
      <colorScale>
        <cfvo type="min"/>
        <cfvo type="formula" val="2.7"/>
        <cfvo type="max"/>
        <color rgb="FFFFFFFF"/>
        <color rgb="FFABDDC5"/>
        <color rgb="FF57BB8A"/>
      </colorScale>
    </cfRule>
  </conditionalFormatting>
  <drawing r:id="rId1"/>
</worksheet>
</file>